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" sheetId="1" r:id="rId4"/>
    <sheet state="visible" name="apoio" sheetId="2" r:id="rId5"/>
  </sheets>
  <definedNames>
    <definedName name="qtd_anos">APP!$D$21</definedName>
    <definedName name="patrimonio">APP!$D$23</definedName>
    <definedName name="aporte">APP!$D$20</definedName>
    <definedName name="rendimento_carteira">APP!$D$16</definedName>
    <definedName name="taxa_mensal">APP!$D$22</definedName>
    <definedName name="salario">APP!$D$15</definedName>
    <definedName name="sugestao_investimento">APP!$D$17</definedName>
  </definedNames>
  <calcPr/>
  <extLst>
    <ext uri="GoogleSheetsCustomDataVersion2">
      <go:sheetsCustomData xmlns:go="http://customooxmlschemas.google.com/" r:id="rId6" roundtripDataChecksum="gCXdeNzVFrGtpEbf/XZsBhbkTNi8xh2JMZBv4ygV0cs="/>
    </ext>
  </extLst>
</workbook>
</file>

<file path=xl/sharedStrings.xml><?xml version="1.0" encoding="utf-8"?>
<sst xmlns="http://schemas.openxmlformats.org/spreadsheetml/2006/main" count="83" uniqueCount="35">
  <si>
    <t>CHAVE</t>
  </si>
  <si>
    <t>PERFIL</t>
  </si>
  <si>
    <t>TIPO DE FII</t>
  </si>
  <si>
    <t>%</t>
  </si>
  <si>
    <t>Conservador</t>
  </si>
  <si>
    <t>PAPEL</t>
  </si>
  <si>
    <t>TIJOLO</t>
  </si>
  <si>
    <t>Moderado-TIJOLO</t>
  </si>
  <si>
    <t>HÍBRIDOS</t>
  </si>
  <si>
    <t>FOFs</t>
  </si>
  <si>
    <t>DESENVOLVIMENTO</t>
  </si>
  <si>
    <t>HOTELARIAS</t>
  </si>
  <si>
    <t>Moderado</t>
  </si>
  <si>
    <t>Agressivo</t>
  </si>
  <si>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</si>
  <si>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</si>
  <si>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</si>
  <si>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</si>
  <si>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</si>
  <si>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</si>
  <si>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</si>
  <si>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</si>
  <si>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</si>
  <si>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</si>
  <si>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</si>
  <si>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</si>
  <si>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</si>
  <si>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</si>
  <si>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</si>
  <si>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</si>
  <si>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</si>
  <si>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VALOR A SER INVESTIDO POR MÊS</t>
  </si>
  <si>
    <t>Percentual Sugerido</t>
  </si>
  <si>
    <t>Valores</t>
  </si>
  <si>
    <t>VALOR SUGERIDO POR MÊS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</si>
</sst>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\ #,##0.00"/>
    <numFmt numFmtId="165" formatCode="&quot;R$&quot;\ #,##0.00;[Red]\-&quot;R$&quot;\ #,##0.00"/>
  </numFmts>
  <fonts count="18">
    <font>
      <sz val="11.0"/>
      <color theme="1"/>
      <name val="Verdana"/>
      <scheme val="minor"/>
    </font>
    <font>
      <sz val="11.0"/>
      <color theme="0"/>
      <name val="Aptos Narrow"/>
    </font>
    <font>
      <color theme="1"/>
      <name val="Verdana"/>
      <scheme val="minor"/>
    </font>
    <font>
      <sz val="11.0"/>
      <color theme="1"/>
      <name val="Aptos Narrow"/>
    </font>
    <font>
      <sz val="11.0"/>
      <color rgb="FF9C5700"/>
      <name val="Aptos Narrow"/>
    </font>
    <font>
      <b/>
      <sz val="18.0"/>
      <color rgb="FFFFFFFF"/>
      <name val="Quattrocento Sans"/>
    </font>
    <font/>
    <font>
      <sz val="12.0"/>
      <color theme="1"/>
      <name val="Quattrocento Sans"/>
    </font>
    <font>
      <sz val="11.0"/>
      <color theme="1"/>
      <name val="Quattrocento Sans"/>
    </font>
    <font>
      <b/>
      <sz val="20.0"/>
      <color theme="0"/>
      <name val="Quattrocento Sans"/>
    </font>
    <font>
      <b/>
      <sz val="11.0"/>
      <color theme="1"/>
      <name val="Quattrocento Sans"/>
    </font>
    <font>
      <b/>
      <sz val="12.0"/>
      <color theme="1"/>
      <name val="Quattrocento Sans"/>
    </font>
    <font>
      <b/>
      <sz val="12.0"/>
      <color theme="0"/>
      <name val="Quattrocento Sans"/>
    </font>
    <font>
      <sz val="11.0"/>
      <color rgb="FF9900FF"/>
      <name val="Aptos Narrow"/>
    </font>
    <font>
      <sz val="11.0"/>
      <color rgb="FF9900FF"/>
      <name val="Arial"/>
    </font>
    <font>
      <b/>
      <sz val="11.0"/>
      <color rgb="FF351C75"/>
      <name val="Aptos Narrow"/>
    </font>
    <font>
      <b/>
      <sz val="11.0"/>
      <color theme="1"/>
      <name val="Aptos Narrow"/>
    </font>
    <font>
      <b/>
      <sz val="11.0"/>
      <color rgb="FF351C75"/>
      <name val="Arial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EB9C"/>
        <bgColor rgb="FFFFEB9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</fills>
  <borders count="34">
    <border/>
    <border>
      <left/>
      <right/>
      <top/>
      <bottom/>
    </border>
    <border>
      <bottom style="medium">
        <color rgb="FF000000"/>
      </bottom>
    </border>
    <border>
      <left style="thick">
        <color rgb="FF9900FF"/>
      </left>
      <top style="thick">
        <color rgb="FF9900FF"/>
      </top>
      <bottom/>
    </border>
    <border>
      <top style="thick">
        <color rgb="FF9900FF"/>
      </top>
      <bottom/>
    </border>
    <border>
      <right style="thick">
        <color rgb="FF9900FF"/>
      </right>
      <top style="thick">
        <color rgb="FF9900FF"/>
      </top>
      <bottom/>
    </border>
    <border>
      <left style="thick">
        <color rgb="FF9900FF"/>
      </left>
      <top/>
      <bottom style="thin">
        <color rgb="FFFFFFFF"/>
      </bottom>
    </border>
    <border>
      <right style="thin">
        <color rgb="FFFFFFFF"/>
      </right>
      <top/>
      <bottom style="thin">
        <color rgb="FFFFFFFF"/>
      </bottom>
    </border>
    <border>
      <left style="thin">
        <color rgb="FFFFFFFF"/>
      </left>
      <right style="thick">
        <color rgb="FF9900FF"/>
      </right>
      <bottom style="thin">
        <color rgb="FFFFFFFF"/>
      </bottom>
    </border>
    <border>
      <left style="thick">
        <color rgb="FF9900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ck">
        <color rgb="FF9900FF"/>
      </right>
      <top style="thin">
        <color rgb="FFFFFFFF"/>
      </top>
      <bottom style="thin">
        <color rgb="FFFFFFFF"/>
      </bottom>
    </border>
    <border>
      <left style="thick">
        <color rgb="FF9900FF"/>
      </left>
      <top style="thin">
        <color rgb="FFFFFFFF"/>
      </top>
      <bottom style="thick">
        <color rgb="FF9900FF"/>
      </bottom>
    </border>
    <border>
      <right style="thin">
        <color rgb="FFFFFFFF"/>
      </right>
      <top style="thin">
        <color rgb="FFFFFFFF"/>
      </top>
      <bottom style="thick">
        <color rgb="FF9900FF"/>
      </bottom>
    </border>
    <border>
      <left style="thin">
        <color rgb="FFFFFFFF"/>
      </left>
      <right style="thick">
        <color rgb="FF9900FF"/>
      </right>
      <top style="thin">
        <color rgb="FFFFFFFF"/>
      </top>
      <bottom style="thick">
        <color rgb="FF9900FF"/>
      </bottom>
    </border>
    <border>
      <left style="thick">
        <color rgb="FF9900FF"/>
      </left>
      <top style="thick">
        <color rgb="FF9900FF"/>
      </top>
    </border>
    <border>
      <right/>
      <top style="thick">
        <color rgb="FF9900FF"/>
      </top>
    </border>
    <border>
      <left/>
      <right style="thick">
        <color rgb="FF9900FF"/>
      </right>
      <top style="thick">
        <color rgb="FF9900FF"/>
      </top>
    </border>
    <border>
      <left style="thick">
        <color rgb="FF9900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ck">
        <color rgb="FF9900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9900FF"/>
      </left>
      <right style="thin">
        <color rgb="FFFFFFFF"/>
      </right>
      <top style="thin">
        <color rgb="FFFFFFFF"/>
      </top>
      <bottom style="thick">
        <color rgb="FF9900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9900FF"/>
      </bottom>
    </border>
    <border>
      <left style="thick">
        <color rgb="FF9900FF"/>
      </left>
      <right/>
      <top style="thick">
        <color rgb="FF9900FF"/>
      </top>
      <bottom/>
    </border>
    <border>
      <left/>
      <right/>
      <top style="thick">
        <color rgb="FF9900FF"/>
      </top>
      <bottom/>
    </border>
    <border>
      <left/>
      <right style="thick">
        <color rgb="FF9900FF"/>
      </right>
      <top style="thick">
        <color rgb="FF9900FF"/>
      </top>
      <bottom/>
    </border>
    <border>
      <left style="thin">
        <color rgb="FFFFFFFF"/>
      </left>
      <right style="thick">
        <color rgb="FF9900FF"/>
      </right>
      <top/>
      <bottom style="thin">
        <color rgb="FFFFFFFF"/>
      </bottom>
    </border>
    <border>
      <left style="thick">
        <color rgb="FF9900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ck">
        <color rgb="FF9900FF"/>
      </right>
      <top style="thin">
        <color rgb="FFFFFFFF"/>
      </top>
      <bottom/>
    </border>
    <border>
      <left style="thick">
        <color rgb="FF9900FF"/>
      </left>
      <right/>
      <top/>
      <bottom style="thick">
        <color rgb="FF9900FF"/>
      </bottom>
    </border>
    <border>
      <left/>
      <right/>
      <top/>
      <bottom style="thick">
        <color rgb="FF9900FF"/>
      </bottom>
    </border>
    <border>
      <left/>
      <right style="thick">
        <color rgb="FF9900FF"/>
      </right>
      <top/>
      <bottom style="thick">
        <color rgb="FF9900FF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9" xfId="0" applyAlignment="1" applyFont="1" applyNumberFormat="1">
      <alignment horizontal="center"/>
    </xf>
    <xf borderId="1" fillId="3" fontId="4" numFmtId="0" xfId="0" applyBorder="1" applyFill="1" applyFont="1"/>
    <xf borderId="1" fillId="3" fontId="4" numFmtId="9" xfId="0" applyBorder="1" applyFill="1" applyFont="1" applyNumberFormat="1"/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2" fillId="0" fontId="3" numFmtId="9" xfId="0" applyAlignment="1" applyBorder="1" applyFont="1" applyNumberForma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3" numFmtId="9" xfId="0" applyAlignment="1" applyBorder="1" applyFont="1" applyNumberFormat="1">
      <alignment horizontal="center"/>
    </xf>
    <xf borderId="0" fillId="0" fontId="2" numFmtId="0" xfId="0" applyAlignment="1" applyFont="1">
      <alignment shrinkToFit="0" wrapText="0"/>
    </xf>
    <xf borderId="3" fillId="4" fontId="5" numFmtId="0" xfId="0" applyAlignment="1" applyBorder="1" applyFill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5" fontId="7" numFmtId="0" xfId="0" applyAlignment="1" applyBorder="1" applyFill="1" applyFont="1">
      <alignment horizontal="left"/>
    </xf>
    <xf borderId="7" fillId="0" fontId="6" numFmtId="0" xfId="0" applyBorder="1" applyFont="1"/>
    <xf borderId="8" fillId="4" fontId="8" numFmtId="164" xfId="0" applyAlignment="1" applyBorder="1" applyFill="1" applyFont="1" applyNumberFormat="1">
      <alignment horizontal="center"/>
    </xf>
    <xf borderId="9" fillId="5" fontId="7" numFmtId="0" xfId="0" applyAlignment="1" applyBorder="1" applyFill="1" applyFont="1">
      <alignment horizontal="left"/>
    </xf>
    <xf borderId="10" fillId="0" fontId="6" numFmtId="0" xfId="0" applyBorder="1" applyFont="1"/>
    <xf borderId="11" fillId="4" fontId="8" numFmtId="10" xfId="0" applyAlignment="1" applyBorder="1" applyFill="1" applyFont="1" applyNumberFormat="1">
      <alignment horizontal="center"/>
    </xf>
    <xf borderId="12" fillId="5" fontId="7" numFmtId="0" xfId="0" applyAlignment="1" applyBorder="1" applyFill="1" applyFont="1">
      <alignment horizontal="left"/>
    </xf>
    <xf borderId="13" fillId="0" fontId="6" numFmtId="0" xfId="0" applyBorder="1" applyFont="1"/>
    <xf borderId="14" fillId="4" fontId="8" numFmtId="164" xfId="0" applyAlignment="1" applyBorder="1" applyFill="1" applyFont="1" applyNumberFormat="1">
      <alignment horizontal="center"/>
    </xf>
    <xf borderId="3" fillId="6" fontId="9" numFmtId="0" xfId="0" applyAlignment="1" applyBorder="1" applyFill="1" applyFont="1">
      <alignment horizontal="center" vertical="center"/>
    </xf>
    <xf borderId="8" fillId="5" fontId="10" numFmtId="164" xfId="0" applyAlignment="1" applyBorder="1" applyFill="1" applyFont="1" applyNumberFormat="1">
      <alignment horizontal="center"/>
    </xf>
    <xf borderId="11" fillId="5" fontId="10" numFmtId="0" xfId="0" applyAlignment="1" applyBorder="1" applyFill="1" applyFont="1">
      <alignment horizontal="center"/>
    </xf>
    <xf borderId="11" fillId="5" fontId="10" numFmtId="10" xfId="0" applyAlignment="1" applyBorder="1" applyFill="1" applyFont="1" applyNumberFormat="1">
      <alignment horizontal="center"/>
    </xf>
    <xf borderId="9" fillId="4" fontId="11" numFmtId="0" xfId="0" applyAlignment="1" applyBorder="1" applyFill="1" applyFont="1">
      <alignment horizontal="left"/>
    </xf>
    <xf borderId="11" fillId="4" fontId="10" numFmtId="165" xfId="0" applyAlignment="1" applyBorder="1" applyFill="1" applyFont="1" applyNumberFormat="1">
      <alignment horizontal="center"/>
    </xf>
    <xf borderId="12" fillId="4" fontId="11" numFmtId="0" xfId="0" applyAlignment="1" applyBorder="1" applyFill="1" applyFont="1">
      <alignment horizontal="left"/>
    </xf>
    <xf borderId="14" fillId="4" fontId="10" numFmtId="165" xfId="0" applyAlignment="1" applyBorder="1" applyFill="1" applyFont="1" applyNumberFormat="1">
      <alignment horizontal="center"/>
    </xf>
    <xf borderId="0" fillId="0" fontId="3" numFmtId="9" xfId="0" applyFont="1" applyNumberFormat="1"/>
    <xf borderId="15" fillId="6" fontId="9" numFmtId="0" xfId="0" applyAlignment="1" applyBorder="1" applyFill="1" applyFont="1">
      <alignment horizontal="center" vertical="center"/>
    </xf>
    <xf borderId="16" fillId="0" fontId="6" numFmtId="0" xfId="0" applyBorder="1" applyFont="1"/>
    <xf borderId="17" fillId="6" fontId="12" numFmtId="0" xfId="0" applyAlignment="1" applyBorder="1" applyFill="1" applyFont="1">
      <alignment horizontal="center" vertical="center"/>
    </xf>
    <xf borderId="0" fillId="0" fontId="1" numFmtId="0" xfId="0" applyFont="1"/>
    <xf borderId="18" fillId="5" fontId="7" numFmtId="0" xfId="0" applyAlignment="1" applyBorder="1" applyFill="1" applyFont="1">
      <alignment horizontal="left"/>
    </xf>
    <xf borderId="19" fillId="5" fontId="8" numFmtId="164" xfId="0" applyAlignment="1" applyBorder="1" applyFill="1" applyFont="1" applyNumberFormat="1">
      <alignment horizontal="center"/>
    </xf>
    <xf borderId="8" fillId="5" fontId="8" numFmtId="164" xfId="0" applyAlignment="1" applyBorder="1" applyFill="1" applyFont="1" applyNumberFormat="1">
      <alignment horizontal="center"/>
    </xf>
    <xf borderId="20" fillId="5" fontId="7" numFmtId="0" xfId="0" applyAlignment="1" applyBorder="1" applyFill="1" applyFont="1">
      <alignment horizontal="left"/>
    </xf>
    <xf borderId="21" fillId="5" fontId="8" numFmtId="164" xfId="0" applyAlignment="1" applyBorder="1" applyFill="1" applyFont="1" applyNumberFormat="1">
      <alignment horizontal="center"/>
    </xf>
    <xf borderId="11" fillId="5" fontId="8" numFmtId="164" xfId="0" applyAlignment="1" applyBorder="1" applyFill="1" applyFont="1" applyNumberFormat="1">
      <alignment horizontal="center"/>
    </xf>
    <xf borderId="22" fillId="5" fontId="7" numFmtId="0" xfId="0" applyAlignment="1" applyBorder="1" applyFill="1" applyFont="1">
      <alignment horizontal="left"/>
    </xf>
    <xf borderId="23" fillId="5" fontId="8" numFmtId="164" xfId="0" applyAlignment="1" applyBorder="1" applyFill="1" applyFont="1" applyNumberFormat="1">
      <alignment horizontal="center"/>
    </xf>
    <xf borderId="14" fillId="5" fontId="8" numFmtId="164" xfId="0" applyAlignment="1" applyBorder="1" applyFill="1" applyFont="1" applyNumberFormat="1">
      <alignment horizontal="center"/>
    </xf>
    <xf borderId="1" fillId="4" fontId="13" numFmtId="0" xfId="0" applyBorder="1" applyFill="1" applyFont="1"/>
    <xf borderId="1" fillId="4" fontId="14" numFmtId="0" xfId="0" applyAlignment="1" applyBorder="1" applyFill="1" applyFont="1">
      <alignment horizontal="center" readingOrder="0"/>
    </xf>
    <xf borderId="1" fillId="4" fontId="4" numFmtId="0" xfId="0" applyBorder="1" applyFill="1" applyFont="1"/>
    <xf borderId="1" fillId="5" fontId="15" numFmtId="0" xfId="0" applyBorder="1" applyFill="1" applyFont="1"/>
    <xf borderId="1" fillId="5" fontId="15" numFmtId="164" xfId="0" applyAlignment="1" applyBorder="1" applyFill="1" applyFont="1" applyNumberFormat="1">
      <alignment horizontal="center"/>
    </xf>
    <xf borderId="24" fillId="6" fontId="15" numFmtId="0" xfId="0" applyAlignment="1" applyBorder="1" applyFill="1" applyFont="1">
      <alignment horizontal="center"/>
    </xf>
    <xf borderId="25" fillId="6" fontId="15" numFmtId="0" xfId="0" applyAlignment="1" applyBorder="1" applyFill="1" applyFont="1">
      <alignment horizontal="center"/>
    </xf>
    <xf borderId="26" fillId="6" fontId="15" numFmtId="0" xfId="0" applyAlignment="1" applyBorder="1" applyFill="1" applyFont="1">
      <alignment horizontal="center"/>
    </xf>
    <xf borderId="18" fillId="5" fontId="3" numFmtId="0" xfId="0" applyAlignment="1" applyBorder="1" applyFill="1" applyFont="1">
      <alignment horizontal="center"/>
    </xf>
    <xf borderId="19" fillId="5" fontId="3" numFmtId="9" xfId="0" applyAlignment="1" applyBorder="1" applyFill="1" applyFont="1" applyNumberFormat="1">
      <alignment horizontal="center"/>
    </xf>
    <xf borderId="27" fillId="4" fontId="3" numFmtId="164" xfId="0" applyAlignment="1" applyBorder="1" applyFill="1" applyFont="1" applyNumberFormat="1">
      <alignment horizontal="center"/>
    </xf>
    <xf borderId="20" fillId="5" fontId="3" numFmtId="0" xfId="0" applyAlignment="1" applyBorder="1" applyFill="1" applyFont="1">
      <alignment horizontal="center"/>
    </xf>
    <xf borderId="21" fillId="5" fontId="3" numFmtId="9" xfId="0" applyAlignment="1" applyBorder="1" applyFill="1" applyFont="1" applyNumberFormat="1">
      <alignment horizontal="center"/>
    </xf>
    <xf borderId="11" fillId="4" fontId="3" numFmtId="164" xfId="0" applyAlignment="1" applyBorder="1" applyFill="1" applyFont="1" applyNumberFormat="1">
      <alignment horizontal="center"/>
    </xf>
    <xf borderId="28" fillId="5" fontId="3" numFmtId="0" xfId="0" applyAlignment="1" applyBorder="1" applyFill="1" applyFont="1">
      <alignment horizontal="center"/>
    </xf>
    <xf borderId="29" fillId="5" fontId="3" numFmtId="9" xfId="0" applyAlignment="1" applyBorder="1" applyFill="1" applyFont="1" applyNumberFormat="1">
      <alignment horizontal="center"/>
    </xf>
    <xf borderId="30" fillId="4" fontId="3" numFmtId="164" xfId="0" applyAlignment="1" applyBorder="1" applyFill="1" applyFont="1" applyNumberFormat="1">
      <alignment horizontal="center"/>
    </xf>
    <xf borderId="31" fillId="6" fontId="16" numFmtId="0" xfId="0" applyBorder="1" applyFill="1" applyFont="1"/>
    <xf borderId="32" fillId="6" fontId="16" numFmtId="0" xfId="0" applyBorder="1" applyFill="1" applyFont="1"/>
    <xf borderId="33" fillId="6" fontId="16" numFmtId="164" xfId="0" applyAlignment="1" applyBorder="1" applyFill="1" applyFont="1" applyNumberFormat="1">
      <alignment horizontal="center"/>
    </xf>
    <xf borderId="1" fillId="5" fontId="17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APP!$C$37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rgbClr val="635982"/>
              </a:solidFill>
            </c:spPr>
          </c:dPt>
          <c:dPt>
            <c:idx val="7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APP!$B$38:$B$45</c:f>
            </c:strRef>
          </c:cat>
          <c:val>
            <c:numRef>
              <c:f>APP!$C$38:$C$45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493383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APP!$C$66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rgbClr val="63598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APP!$B$67:$B$73</c:f>
            </c:strRef>
          </c:cat>
          <c:val>
            <c:numRef>
              <c:f>APP!$C$67:$C$73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493383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45</xdr:row>
      <xdr:rowOff>95250</xdr:rowOff>
    </xdr:from>
    <xdr:ext cx="6162675" cy="2771775"/>
    <xdr:graphicFrame>
      <xdr:nvGraphicFramePr>
        <xdr:cNvPr id="117827057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409575</xdr:colOff>
      <xdr:row>73</xdr:row>
      <xdr:rowOff>171450</xdr:rowOff>
    </xdr:from>
    <xdr:ext cx="6162675" cy="2771775"/>
    <xdr:graphicFrame>
      <xdr:nvGraphicFramePr>
        <xdr:cNvPr id="1533109611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409575</xdr:colOff>
      <xdr:row>0</xdr:row>
      <xdr:rowOff>28575</xdr:rowOff>
    </xdr:from>
    <xdr:ext cx="6162675" cy="2228850"/>
    <xdr:grpSp>
      <xdr:nvGrpSpPr>
        <xdr:cNvPr id="2" name="Shape 2" title="Desenho"/>
        <xdr:cNvGrpSpPr/>
      </xdr:nvGrpSpPr>
      <xdr:grpSpPr>
        <a:xfrm>
          <a:off x="340850" y="473525"/>
          <a:ext cx="6247873" cy="2208998"/>
          <a:chOff x="340850" y="473525"/>
          <a:chExt cx="6247873" cy="2208998"/>
        </a:xfrm>
      </xdr:grpSpPr>
      <xdr:pic>
        <xdr:nvPicPr>
          <xdr:cNvPr id="3" name="Shape 3"/>
          <xdr:cNvPicPr preferRelativeResize="0"/>
        </xdr:nvPicPr>
        <xdr:blipFill rotWithShape="1">
          <a:blip r:embed="rId3">
            <a:alphaModFix/>
          </a:blip>
          <a:srcRect b="18058" l="0" r="14111" t="17288"/>
          <a:stretch/>
        </xdr:blipFill>
        <xdr:spPr>
          <a:xfrm>
            <a:off x="340850" y="473525"/>
            <a:ext cx="6247873" cy="220899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51C75"/>
      </a:dk1>
      <a:lt1>
        <a:srgbClr val="FFFFFF"/>
      </a:lt1>
      <a:dk2>
        <a:srgbClr val="351C75"/>
      </a:dk2>
      <a:lt2>
        <a:srgbClr val="FFFFFF"/>
      </a:lt2>
      <a:accent1>
        <a:srgbClr val="20124D"/>
      </a:accent1>
      <a:accent2>
        <a:srgbClr val="351C75"/>
      </a:accent2>
      <a:accent3>
        <a:srgbClr val="674EA7"/>
      </a:accent3>
      <a:accent4>
        <a:srgbClr val="8E7CC3"/>
      </a:accent4>
      <a:accent5>
        <a:srgbClr val="B4A7D6"/>
      </a:accent5>
      <a:accent6>
        <a:srgbClr val="D9D2E9"/>
      </a:accent6>
      <a:hlink>
        <a:srgbClr val="9900FF"/>
      </a:hlink>
      <a:folHlink>
        <a:srgbClr val="99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4.89"/>
    <col customWidth="1" min="2" max="2" width="41.67"/>
    <col customWidth="1" min="3" max="3" width="16.78"/>
    <col customWidth="1" min="4" max="4" width="13.33"/>
    <col customWidth="1" min="5" max="6" width="3.11"/>
    <col customWidth="1" min="7" max="26" width="7.67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G10" s="14"/>
    </row>
    <row r="11" ht="14.25" customHeight="1"/>
    <row r="12" ht="14.25" customHeight="1"/>
    <row r="13" ht="14.25" customHeight="1"/>
    <row r="14">
      <c r="B14" s="15" t="s">
        <v>14</v>
      </c>
      <c r="C14" s="16"/>
      <c r="D14" s="17"/>
    </row>
    <row r="15" ht="14.25" customHeight="1">
      <c r="B15" s="18" t="s">
        <v>15</v>
      </c>
      <c r="C15" s="19"/>
      <c r="D15" s="20">
        <v>2000.0</v>
      </c>
    </row>
    <row r="16" ht="14.25" customHeight="1">
      <c r="B16" s="21" t="s">
        <v>16</v>
      </c>
      <c r="C16" s="22"/>
      <c r="D16" s="23">
        <v>0.006</v>
      </c>
    </row>
    <row r="17" ht="14.25" customHeight="1">
      <c r="B17" s="24" t="s">
        <v>17</v>
      </c>
      <c r="C17" s="25"/>
      <c r="D17" s="26">
        <f>D15*30%</f>
        <v>600</v>
      </c>
    </row>
    <row r="18" ht="14.25" customHeight="1"/>
    <row r="19" ht="28.5" customHeight="1">
      <c r="B19" s="27" t="s">
        <v>18</v>
      </c>
      <c r="C19" s="16"/>
      <c r="D19" s="17"/>
    </row>
    <row r="20" ht="14.25" customHeight="1">
      <c r="B20" s="18" t="s">
        <v>19</v>
      </c>
      <c r="C20" s="19"/>
      <c r="D20" s="28">
        <v>200.0</v>
      </c>
    </row>
    <row r="21" ht="14.25" customHeight="1">
      <c r="B21" s="21" t="s">
        <v>20</v>
      </c>
      <c r="C21" s="22"/>
      <c r="D21" s="29">
        <v>5.0</v>
      </c>
    </row>
    <row r="22" ht="14.25" customHeight="1">
      <c r="B22" s="21" t="s">
        <v>21</v>
      </c>
      <c r="C22" s="22"/>
      <c r="D22" s="30">
        <v>0.01079</v>
      </c>
    </row>
    <row r="23" ht="14.25" customHeight="1">
      <c r="B23" s="31" t="s">
        <v>22</v>
      </c>
      <c r="C23" s="22"/>
      <c r="D23" s="32">
        <f>FV(taxa_mensal,qtd_anos*12,aporte*-1)</f>
        <v>16755.3828</v>
      </c>
    </row>
    <row r="24" ht="14.25" customHeight="1">
      <c r="B24" s="33" t="s">
        <v>23</v>
      </c>
      <c r="C24" s="25"/>
      <c r="D24" s="34">
        <f>patrimonio*rendimento_carteira</f>
        <v>100.5322968</v>
      </c>
      <c r="F24" s="35"/>
    </row>
    <row r="25" ht="14.25" customHeight="1"/>
    <row r="26" ht="14.25" customHeight="1">
      <c r="B26" s="36" t="s">
        <v>24</v>
      </c>
      <c r="C26" s="37"/>
      <c r="D26" s="38" t="s">
        <v>25</v>
      </c>
    </row>
    <row r="27" ht="14.25" customHeight="1">
      <c r="A27" s="39">
        <v>2.0</v>
      </c>
      <c r="B27" s="40" t="s">
        <v>26</v>
      </c>
      <c r="C27" s="41">
        <f t="shared" ref="C27:C31" si="1">FV($D$22,$A27*12,$D$20*-1)</f>
        <v>5445.52546</v>
      </c>
      <c r="D27" s="42">
        <f>C27*rendimento_carteira</f>
        <v>32.67315276</v>
      </c>
    </row>
    <row r="28" ht="14.25" customHeight="1">
      <c r="A28" s="39">
        <v>5.0</v>
      </c>
      <c r="B28" s="43" t="s">
        <v>27</v>
      </c>
      <c r="C28" s="44">
        <f t="shared" si="1"/>
        <v>16755.3828</v>
      </c>
      <c r="D28" s="45">
        <f>C28*rendimento_carteira</f>
        <v>100.5322968</v>
      </c>
    </row>
    <row r="29" ht="14.25" customHeight="1">
      <c r="A29" s="39">
        <v>10.0</v>
      </c>
      <c r="B29" s="43" t="s">
        <v>28</v>
      </c>
      <c r="C29" s="44">
        <f t="shared" si="1"/>
        <v>48656.84251</v>
      </c>
      <c r="D29" s="45">
        <f>C29*rendimento_carteira</f>
        <v>291.941055</v>
      </c>
    </row>
    <row r="30" ht="14.25" customHeight="1">
      <c r="A30" s="39">
        <v>20.0</v>
      </c>
      <c r="B30" s="43" t="s">
        <v>29</v>
      </c>
      <c r="C30" s="44">
        <f t="shared" si="1"/>
        <v>225039.68</v>
      </c>
      <c r="D30" s="45">
        <f>C30*rendimento_carteira</f>
        <v>1350.23808</v>
      </c>
    </row>
    <row r="31" ht="14.25" customHeight="1">
      <c r="A31" s="39">
        <v>30.0</v>
      </c>
      <c r="B31" s="46" t="s">
        <v>30</v>
      </c>
      <c r="C31" s="47">
        <f t="shared" si="1"/>
        <v>864433.931</v>
      </c>
      <c r="D31" s="48">
        <f>C31*rendimento_carteira</f>
        <v>5186.603586</v>
      </c>
    </row>
    <row r="32" ht="14.25" customHeight="1"/>
    <row r="33" ht="14.25" customHeight="1"/>
    <row r="34" ht="14.25" customHeight="1">
      <c r="B34" s="49" t="s">
        <v>1</v>
      </c>
      <c r="C34" s="50" t="s">
        <v>13</v>
      </c>
      <c r="D34" s="51"/>
    </row>
    <row r="35" ht="14.25" customHeight="1">
      <c r="B35" s="52" t="s">
        <v>31</v>
      </c>
      <c r="C35" s="53">
        <f>aporte</f>
        <v>200</v>
      </c>
      <c r="D35" s="52"/>
    </row>
    <row r="36" ht="14.25" customHeight="1"/>
    <row r="37" ht="14.25" customHeight="1"/>
    <row r="38" ht="14.25" customHeight="1">
      <c r="B38" s="54" t="s">
        <v>2</v>
      </c>
      <c r="C38" s="55" t="s">
        <v>32</v>
      </c>
      <c r="D38" s="56" t="s">
        <v>33</v>
      </c>
    </row>
    <row r="39" ht="14.25" customHeight="1">
      <c r="B39" s="57" t="s">
        <v>5</v>
      </c>
      <c r="C39" s="58">
        <f>VLOOKUP($C$34&amp;"-"&amp;B39,apoio!$A:$D,4,FALSE)</f>
        <v>0.5</v>
      </c>
      <c r="D39" s="59">
        <f t="shared" ref="D39:D44" si="2">C39*$C$35</f>
        <v>100</v>
      </c>
    </row>
    <row r="40" ht="14.25" customHeight="1">
      <c r="B40" s="60" t="s">
        <v>6</v>
      </c>
      <c r="C40" s="61">
        <f>VLOOKUP($C$34&amp;"-"&amp;B40,apoio!$A:$D,4,FALSE)</f>
        <v>0.1</v>
      </c>
      <c r="D40" s="62">
        <f t="shared" si="2"/>
        <v>20</v>
      </c>
    </row>
    <row r="41" ht="14.25" customHeight="1">
      <c r="B41" s="60" t="s">
        <v>8</v>
      </c>
      <c r="C41" s="61">
        <f>VLOOKUP($C$34&amp;"-"&amp;B41,apoio!$A:$D,4,FALSE)</f>
        <v>0.05</v>
      </c>
      <c r="D41" s="62">
        <f t="shared" si="2"/>
        <v>10</v>
      </c>
    </row>
    <row r="42" ht="14.25" customHeight="1">
      <c r="B42" s="60" t="s">
        <v>9</v>
      </c>
      <c r="C42" s="61">
        <f>VLOOKUP($C$34&amp;"-"&amp;B42,apoio!$A:$D,4,FALSE)</f>
        <v>0.05</v>
      </c>
      <c r="D42" s="62">
        <f t="shared" si="2"/>
        <v>10</v>
      </c>
    </row>
    <row r="43" ht="14.25" customHeight="1">
      <c r="B43" s="60" t="s">
        <v>10</v>
      </c>
      <c r="C43" s="61">
        <f>VLOOKUP($C$34&amp;"-"&amp;B43,apoio!$A:$D,4,FALSE)</f>
        <v>0.2</v>
      </c>
      <c r="D43" s="62">
        <f t="shared" si="2"/>
        <v>40</v>
      </c>
    </row>
    <row r="44" ht="14.25" customHeight="1">
      <c r="B44" s="63" t="s">
        <v>11</v>
      </c>
      <c r="C44" s="64">
        <f>VLOOKUP($C$34&amp;"-"&amp;B44,apoio!$A:$D,4,FALSE)</f>
        <v>0.1</v>
      </c>
      <c r="D44" s="65">
        <f t="shared" si="2"/>
        <v>20</v>
      </c>
    </row>
    <row r="45" ht="14.25" customHeight="1">
      <c r="B45" s="66"/>
      <c r="C45" s="67"/>
      <c r="D45" s="68">
        <f>SUM(D39:D44)</f>
        <v>200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>
      <c r="B63" s="49" t="s">
        <v>1</v>
      </c>
      <c r="C63" s="50" t="s">
        <v>4</v>
      </c>
      <c r="D63" s="51"/>
    </row>
    <row r="64" ht="14.25" customHeight="1">
      <c r="B64" s="69" t="s">
        <v>34</v>
      </c>
      <c r="C64" s="53">
        <f>sugestao_investimento</f>
        <v>600</v>
      </c>
      <c r="D64" s="52"/>
    </row>
    <row r="65" ht="14.25" customHeight="1"/>
    <row r="66" ht="14.25" customHeight="1">
      <c r="B66" s="54" t="s">
        <v>2</v>
      </c>
      <c r="C66" s="55" t="s">
        <v>32</v>
      </c>
      <c r="D66" s="56" t="s">
        <v>33</v>
      </c>
    </row>
    <row r="67" ht="14.25" customHeight="1">
      <c r="B67" s="57" t="s">
        <v>5</v>
      </c>
      <c r="C67" s="58">
        <f>VLOOKUP($C$63&amp;"-"&amp;B67,apoio!$A:$D,4,FALSE)</f>
        <v>0.3</v>
      </c>
      <c r="D67" s="59">
        <f t="shared" ref="D67:D72" si="3">C67*$C$64</f>
        <v>180</v>
      </c>
    </row>
    <row r="68" ht="14.25" customHeight="1">
      <c r="B68" s="60" t="s">
        <v>6</v>
      </c>
      <c r="C68" s="58">
        <f>VLOOKUP($C$63&amp;"-"&amp;B68,apoio!$A:$D,4,FALSE)</f>
        <v>0.5</v>
      </c>
      <c r="D68" s="59">
        <f t="shared" si="3"/>
        <v>300</v>
      </c>
    </row>
    <row r="69" ht="14.25" customHeight="1">
      <c r="B69" s="60" t="s">
        <v>8</v>
      </c>
      <c r="C69" s="58">
        <f>VLOOKUP($C$63&amp;"-"&amp;B69,apoio!$A:$D,4,FALSE)</f>
        <v>0.1</v>
      </c>
      <c r="D69" s="59">
        <f t="shared" si="3"/>
        <v>60</v>
      </c>
    </row>
    <row r="70" ht="14.25" customHeight="1">
      <c r="B70" s="60" t="s">
        <v>9</v>
      </c>
      <c r="C70" s="58">
        <f>VLOOKUP($C$63&amp;"-"&amp;B70,apoio!$A:$D,4,FALSE)</f>
        <v>0.1</v>
      </c>
      <c r="D70" s="59">
        <f t="shared" si="3"/>
        <v>60</v>
      </c>
    </row>
    <row r="71" ht="14.25" customHeight="1">
      <c r="B71" s="60" t="s">
        <v>10</v>
      </c>
      <c r="C71" s="58">
        <f>VLOOKUP($C$63&amp;"-"&amp;B71,apoio!$A:$D,4,FALSE)</f>
        <v>0</v>
      </c>
      <c r="D71" s="59">
        <f t="shared" si="3"/>
        <v>0</v>
      </c>
    </row>
    <row r="72" ht="14.25" customHeight="1">
      <c r="B72" s="63" t="s">
        <v>11</v>
      </c>
      <c r="C72" s="58">
        <f>VLOOKUP($C$63&amp;"-"&amp;B72,apoio!$A:$D,4,FALSE)</f>
        <v>0</v>
      </c>
      <c r="D72" s="59">
        <f t="shared" si="3"/>
        <v>0</v>
      </c>
    </row>
    <row r="73" ht="14.25" customHeight="1">
      <c r="B73" s="66"/>
      <c r="C73" s="67"/>
      <c r="D73" s="68">
        <f>SUM(D67:D72)</f>
        <v>600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1">
    <mergeCell ref="B23:C23"/>
    <mergeCell ref="B24:C24"/>
    <mergeCell ref="B26:C26"/>
    <mergeCell ref="B15:C15"/>
    <mergeCell ref="B16:C16"/>
    <mergeCell ref="B17:C17"/>
    <mergeCell ref="B19:D19"/>
    <mergeCell ref="B20:C20"/>
    <mergeCell ref="B21:C21"/>
    <mergeCell ref="B22:C22"/>
    <mergeCell ref="B14:D14"/>
  </mergeCells>
  <dataValidations>
    <dataValidation type="list" allowBlank="1" showErrorMessage="1" sqref="C34 C63">
      <formula1>"Conservador,Moderado,Agressivo"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28.44"/>
    <col customWidth="1" min="2" max="2" width="11.22"/>
    <col customWidth="1" min="3" max="3" width="17.0"/>
    <col customWidth="1" min="4" max="4" width="4.11"/>
    <col customWidth="1" min="5" max="6" width="7.67"/>
    <col customWidth="1" min="7" max="7" width="14.44"/>
    <col customWidth="1" min="8" max="8" width="4.11"/>
    <col customWidth="1" min="9" max="26" width="7.67"/>
  </cols>
  <sheetData>
    <row r="1" ht="14.25" customHeight="1"/>
    <row r="2" ht="14.25" customHeight="1">
      <c r="A2" s="1" t="s">
        <v>0</v>
      </c>
      <c r="B2" s="1" t="s">
        <v>1</v>
      </c>
      <c r="C2" s="2" t="s">
        <v>2</v>
      </c>
      <c r="D2" s="2" t="s">
        <v>3</v>
      </c>
    </row>
    <row r="3" ht="14.25" customHeight="1">
      <c r="A3" s="3" t="str">
        <f t="shared" ref="A3:A20" si="1">B3&amp;"-"&amp;C3</f>
        <v>Conservador-PAPEL</v>
      </c>
      <c r="B3" s="3" t="s">
        <v>4</v>
      </c>
      <c r="C3" s="4" t="s">
        <v>5</v>
      </c>
      <c r="D3" s="5">
        <v>0.3</v>
      </c>
      <c r="H3" s="3" t="s">
        <v>3</v>
      </c>
    </row>
    <row r="4" ht="14.25" customHeight="1">
      <c r="A4" s="3" t="str">
        <f t="shared" si="1"/>
        <v>Conservador-TIJOLO</v>
      </c>
      <c r="B4" s="3" t="s">
        <v>4</v>
      </c>
      <c r="C4" s="4" t="s">
        <v>6</v>
      </c>
      <c r="D4" s="5">
        <v>0.5</v>
      </c>
      <c r="G4" s="6" t="s">
        <v>7</v>
      </c>
      <c r="H4" s="7">
        <f>VLOOKUP(G4,$A:$D,4,FALSE)</f>
        <v>0.35</v>
      </c>
    </row>
    <row r="5" ht="14.25" customHeight="1">
      <c r="A5" s="3" t="str">
        <f t="shared" si="1"/>
        <v>Conservador-HÍBRIDOS</v>
      </c>
      <c r="B5" s="3" t="s">
        <v>4</v>
      </c>
      <c r="C5" s="4" t="s">
        <v>8</v>
      </c>
      <c r="D5" s="5">
        <v>0.1</v>
      </c>
    </row>
    <row r="6" ht="14.25" customHeight="1">
      <c r="A6" s="3" t="str">
        <f t="shared" si="1"/>
        <v>Conservador-FOFs</v>
      </c>
      <c r="B6" s="3" t="s">
        <v>4</v>
      </c>
      <c r="C6" s="4" t="s">
        <v>9</v>
      </c>
      <c r="D6" s="5">
        <v>0.1</v>
      </c>
    </row>
    <row r="7" ht="14.25" customHeight="1">
      <c r="A7" s="3" t="str">
        <f t="shared" si="1"/>
        <v>Conservador-DESENVOLVIMENTO</v>
      </c>
      <c r="B7" s="3" t="s">
        <v>4</v>
      </c>
      <c r="C7" s="4" t="s">
        <v>10</v>
      </c>
      <c r="D7" s="5">
        <v>0.0</v>
      </c>
    </row>
    <row r="8" ht="14.25" customHeight="1">
      <c r="A8" s="8" t="str">
        <f t="shared" si="1"/>
        <v>Conservador-HOTELARIAS</v>
      </c>
      <c r="B8" s="8" t="s">
        <v>4</v>
      </c>
      <c r="C8" s="9" t="s">
        <v>11</v>
      </c>
      <c r="D8" s="10">
        <v>0.0</v>
      </c>
    </row>
    <row r="9" ht="14.25" customHeight="1">
      <c r="A9" s="3" t="str">
        <f t="shared" si="1"/>
        <v>Moderado-PAPEL</v>
      </c>
      <c r="B9" s="3" t="s">
        <v>12</v>
      </c>
      <c r="C9" s="4" t="s">
        <v>5</v>
      </c>
      <c r="D9" s="5">
        <v>0.32</v>
      </c>
    </row>
    <row r="10" ht="14.25" customHeight="1">
      <c r="A10" s="11" t="str">
        <f t="shared" si="1"/>
        <v>Moderado-TIJOLO</v>
      </c>
      <c r="B10" s="11" t="s">
        <v>12</v>
      </c>
      <c r="C10" s="12" t="s">
        <v>6</v>
      </c>
      <c r="D10" s="13">
        <v>0.35</v>
      </c>
    </row>
    <row r="11" ht="14.25" customHeight="1">
      <c r="A11" s="3" t="str">
        <f t="shared" si="1"/>
        <v>Moderado-HÍBRIDOS</v>
      </c>
      <c r="B11" s="3" t="s">
        <v>12</v>
      </c>
      <c r="C11" s="4" t="s">
        <v>8</v>
      </c>
      <c r="D11" s="5">
        <v>0.08</v>
      </c>
    </row>
    <row r="12" ht="14.25" customHeight="1">
      <c r="A12" s="3" t="str">
        <f t="shared" si="1"/>
        <v>Moderado-FOFs</v>
      </c>
      <c r="B12" s="3" t="s">
        <v>12</v>
      </c>
      <c r="C12" s="4" t="s">
        <v>9</v>
      </c>
      <c r="D12" s="5">
        <v>0.05</v>
      </c>
    </row>
    <row r="13" ht="14.25" customHeight="1">
      <c r="A13" s="3" t="str">
        <f t="shared" si="1"/>
        <v>Moderado-DESENVOLVIMENTO</v>
      </c>
      <c r="B13" s="3" t="s">
        <v>12</v>
      </c>
      <c r="C13" s="4" t="s">
        <v>10</v>
      </c>
      <c r="D13" s="5">
        <v>0.1</v>
      </c>
    </row>
    <row r="14" ht="14.25" customHeight="1">
      <c r="A14" s="8" t="str">
        <f t="shared" si="1"/>
        <v>Moderado-HOTELARIAS</v>
      </c>
      <c r="B14" s="8" t="s">
        <v>12</v>
      </c>
      <c r="C14" s="9" t="s">
        <v>11</v>
      </c>
      <c r="D14" s="10">
        <v>0.1</v>
      </c>
    </row>
    <row r="15" ht="14.25" customHeight="1">
      <c r="A15" s="3" t="str">
        <f t="shared" si="1"/>
        <v>Agressivo-PAPEL</v>
      </c>
      <c r="B15" s="3" t="s">
        <v>13</v>
      </c>
      <c r="C15" s="4" t="s">
        <v>5</v>
      </c>
      <c r="D15" s="5">
        <v>0.5</v>
      </c>
    </row>
    <row r="16" ht="14.25" customHeight="1">
      <c r="A16" s="3" t="str">
        <f t="shared" si="1"/>
        <v>Agressivo-TIJOLO</v>
      </c>
      <c r="B16" s="3" t="s">
        <v>13</v>
      </c>
      <c r="C16" s="4" t="s">
        <v>6</v>
      </c>
      <c r="D16" s="5">
        <v>0.1</v>
      </c>
    </row>
    <row r="17" ht="14.25" customHeight="1">
      <c r="A17" s="3" t="str">
        <f t="shared" si="1"/>
        <v>Agressivo-HÍBRIDOS</v>
      </c>
      <c r="B17" s="3" t="s">
        <v>13</v>
      </c>
      <c r="C17" s="4" t="s">
        <v>8</v>
      </c>
      <c r="D17" s="5">
        <v>0.05</v>
      </c>
    </row>
    <row r="18" ht="14.25" customHeight="1">
      <c r="A18" s="3" t="str">
        <f t="shared" si="1"/>
        <v>Agressivo-FOFs</v>
      </c>
      <c r="B18" s="3" t="s">
        <v>13</v>
      </c>
      <c r="C18" s="4" t="s">
        <v>9</v>
      </c>
      <c r="D18" s="5">
        <v>0.05</v>
      </c>
    </row>
    <row r="19" ht="14.25" customHeight="1">
      <c r="A19" s="3" t="str">
        <f t="shared" si="1"/>
        <v>Agressivo-DESENVOLVIMENTO</v>
      </c>
      <c r="B19" s="3" t="s">
        <v>13</v>
      </c>
      <c r="C19" s="4" t="s">
        <v>10</v>
      </c>
      <c r="D19" s="5">
        <v>0.2</v>
      </c>
    </row>
    <row r="20" ht="14.25" customHeight="1">
      <c r="A20" s="3" t="str">
        <f t="shared" si="1"/>
        <v>Agressivo-HOTELARIAS</v>
      </c>
      <c r="B20" s="3" t="s">
        <v>13</v>
      </c>
      <c r="C20" s="4" t="s">
        <v>11</v>
      </c>
      <c r="D20" s="5">
        <v>0.1</v>
      </c>
    </row>
    <row r="21" ht="14.25" customHeight="1">
      <c r="D21" s="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2025-04-16T18:38:03Z</dcterms:created>
  <dc:creator>Felipe Silva Aguiar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